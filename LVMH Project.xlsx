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7EA203A-CEC4-465F-AA99-D197531AF2F2}" xr6:coauthVersionLast="47" xr6:coauthVersionMax="47" xr10:uidLastSave="{00000000-0000-0000-0000-000000000000}"/>
  <bookViews>
    <workbookView xWindow="-110" yWindow="-110" windowWidth="19420" windowHeight="10300" activeTab="1" xr2:uid="{F5EE4AE3-9B46-4A50-A5B5-E66C9CA51873}"/>
  </bookViews>
  <sheets>
    <sheet name="Data" sheetId="1" r:id="rId1"/>
    <sheet name="Analysis" sheetId="2" r:id="rId2"/>
    <sheet name="Charts" sheetId="3" r:id="rId3"/>
    <sheet name="Project Details" sheetId="5" r:id="rId4"/>
  </sheets>
  <externalReferences>
    <externalReference r:id="rId5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4" i="2" l="1"/>
  <c r="E34" i="2"/>
  <c r="D34" i="2"/>
  <c r="C34" i="2"/>
  <c r="B34" i="2"/>
  <c r="F33" i="2"/>
  <c r="E33" i="2"/>
  <c r="D33" i="2"/>
  <c r="C33" i="2"/>
  <c r="B33" i="2"/>
  <c r="H33" i="2" s="1"/>
  <c r="F32" i="2"/>
  <c r="E32" i="2"/>
  <c r="D32" i="2"/>
  <c r="H32" i="2" s="1"/>
  <c r="C32" i="2"/>
  <c r="G32" i="2" s="1"/>
  <c r="B32" i="2"/>
  <c r="F31" i="2"/>
  <c r="E31" i="2"/>
  <c r="D31" i="2"/>
  <c r="C31" i="2"/>
  <c r="B31" i="2"/>
  <c r="F30" i="2"/>
  <c r="E30" i="2"/>
  <c r="D30" i="2"/>
  <c r="C30" i="2"/>
  <c r="B30" i="2"/>
  <c r="H30" i="2" s="1"/>
  <c r="F29" i="2"/>
  <c r="E29" i="2"/>
  <c r="D29" i="2"/>
  <c r="C29" i="2"/>
  <c r="B29" i="2"/>
  <c r="H22" i="2"/>
  <c r="H24" i="2" s="1"/>
  <c r="G22" i="2"/>
  <c r="G24" i="2" s="1"/>
  <c r="F22" i="2"/>
  <c r="F24" i="2" s="1"/>
  <c r="E22" i="2"/>
  <c r="E24" i="2" s="1"/>
  <c r="D22" i="2"/>
  <c r="D24" i="2" s="1"/>
  <c r="C22" i="2"/>
  <c r="C24" i="2" s="1"/>
  <c r="B22" i="2"/>
  <c r="B24" i="2" s="1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H9" i="2"/>
  <c r="G9" i="2"/>
  <c r="F9" i="2"/>
  <c r="E9" i="2"/>
  <c r="D9" i="2"/>
  <c r="C9" i="2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H4" i="2"/>
  <c r="G4" i="2"/>
  <c r="F4" i="2"/>
  <c r="E4" i="2"/>
  <c r="D4" i="2"/>
  <c r="C4" i="2"/>
  <c r="B4" i="2"/>
  <c r="G30" i="2" l="1"/>
  <c r="H31" i="2"/>
  <c r="H34" i="2"/>
  <c r="H29" i="2"/>
  <c r="D25" i="2"/>
  <c r="C25" i="2"/>
  <c r="E25" i="2"/>
  <c r="F25" i="2"/>
  <c r="G25" i="2"/>
  <c r="H25" i="2"/>
  <c r="G33" i="2"/>
  <c r="G31" i="2"/>
  <c r="G29" i="2"/>
  <c r="G34" i="2"/>
</calcChain>
</file>

<file path=xl/sharedStrings.xml><?xml version="1.0" encoding="utf-8"?>
<sst xmlns="http://schemas.openxmlformats.org/spreadsheetml/2006/main" count="82" uniqueCount="67">
  <si>
    <t>Wines and Spirits</t>
  </si>
  <si>
    <t>Fashion &amp; Leather Goods</t>
  </si>
  <si>
    <t>Perfumes &amp; Cosmetics</t>
  </si>
  <si>
    <t>Watches &amp; Jewelry</t>
  </si>
  <si>
    <t>Selective Retailing</t>
  </si>
  <si>
    <t>Country Name</t>
  </si>
  <si>
    <t>China</t>
  </si>
  <si>
    <t>France</t>
  </si>
  <si>
    <t>Japan</t>
  </si>
  <si>
    <t>United States</t>
  </si>
  <si>
    <t>LVMH RAW REVENUE DATA (EURO MILLIONS)</t>
  </si>
  <si>
    <t>CPI INFLATION RATE (KEY MARKETS)</t>
  </si>
  <si>
    <t>A. Year-on-Year Revenue Growth by Segment (%)</t>
  </si>
  <si>
    <t>Segment</t>
  </si>
  <si>
    <t>Wines &amp; Spirits</t>
  </si>
  <si>
    <t>Fashion &amp; Leather</t>
  </si>
  <si>
    <t>TOTAL</t>
  </si>
  <si>
    <t>2018-19</t>
  </si>
  <si>
    <t>2019-20</t>
  </si>
  <si>
    <t>2020-21</t>
  </si>
  <si>
    <t>2021-22</t>
  </si>
  <si>
    <t>2022-23</t>
  </si>
  <si>
    <t>2023-24</t>
  </si>
  <si>
    <t>CAGR 2018-24</t>
  </si>
  <si>
    <t>B. Segment Revenue Share (% of Total)</t>
  </si>
  <si>
    <t>Metric</t>
  </si>
  <si>
    <t>France CPI Index (2018=100)</t>
  </si>
  <si>
    <t>Real YoY Growth</t>
  </si>
  <si>
    <t>D. Luxury Resilience: LVMH Revenue Growth vs Inflation Rates (%)</t>
  </si>
  <si>
    <t>Year</t>
  </si>
  <si>
    <t>LVMH Total YoY%</t>
  </si>
  <si>
    <t>France CPI%</t>
  </si>
  <si>
    <t>USA CPI%</t>
  </si>
  <si>
    <t>China CPI%</t>
  </si>
  <si>
    <t>Japan CPI%</t>
  </si>
  <si>
    <t>Post-COVID recovery begins</t>
  </si>
  <si>
    <t>Peak luxury boom</t>
  </si>
  <si>
    <t>Slowdown begins</t>
  </si>
  <si>
    <t>-</t>
  </si>
  <si>
    <t>Real Revenue 2018€ (Euro mil)</t>
  </si>
  <si>
    <t>Nominal Revenue (Euro mil)</t>
  </si>
  <si>
    <t>C. LVMH Total Revenue - Real (France CPI-Adjusted, 2018 base, Euro millions)</t>
  </si>
  <si>
    <t>2018-2019</t>
  </si>
  <si>
    <t>2019-2020</t>
  </si>
  <si>
    <t>2020-2021</t>
  </si>
  <si>
    <t>2021-2022</t>
  </si>
  <si>
    <t>2022-2023</t>
  </si>
  <si>
    <t>2023-2024</t>
  </si>
  <si>
    <t>Rev Growth: FR Inf</t>
  </si>
  <si>
    <t>Rev Growth: US Inf</t>
  </si>
  <si>
    <t>COVID shock, revenues fell</t>
  </si>
  <si>
    <t>Demand surge</t>
  </si>
  <si>
    <t>Nominal (Euro millions)</t>
  </si>
  <si>
    <t>Real 2018 (Euro millions)</t>
  </si>
  <si>
    <t>RESEARCH OBJECTIVE</t>
  </si>
  <si>
    <t>PROJECT DETAILS</t>
  </si>
  <si>
    <t>FINDINGS</t>
  </si>
  <si>
    <t>METHODOLOGY</t>
  </si>
  <si>
    <t>This project analyses LVMH's revenue performance from 2018-2024 across five business segments, set against CPI inflation data for its four largest markets: France, USA, China, and Japan. The central question is whether LVMH's revenues demonstrated real growth: growth that outpaced inflation or were partially inflated by rising price levels.</t>
  </si>
  <si>
    <t xml:space="preserve">Revenue data sourced from LVMH Annual Reports 2018-2024 </t>
  </si>
  <si>
    <t>CPI data from World Bank (FP.CPI.TOTL.ZG)</t>
  </si>
  <si>
    <t>Real revenue computed by deflating nominal figures using cumulative France CPI index (base year: 2018 = 100). All figures in euros unless stated.</t>
  </si>
  <si>
    <t>Fashion &amp; Leather Goods grew from €18.5bn (2018) to €41.1bn (2024), a CAGR of ~14.3%. By 2023, it represented 47% of all LVMH revenue, up from 40% in 2018. This segment drove virtually all of LVMH's group-level outperformance, powered by Louis Vuitton and Dior.</t>
  </si>
  <si>
    <t>When deflated using France CPI (LVMH's home market), total revenue in real 2018 euros reached approximately €68bn by 2024 vs €79bn nominal a 15% gap. In other words, roughly 15% of LVMH's apparent 2024 revenue gains since 2018 reflect price level effects, not genuine volume or pricing power gains. Critically, real revenue still grew substantially, confirming genuine expansion.</t>
  </si>
  <si>
    <t>The spread between LVMH revenue growth and France CPI inflation was positive in 5 of 6 years studied. The one exception was 2019-2020 (COVID shock). In 2021 and 2022, LVMH grew 20%+ in real terms even as inflation rose sharply, demonstrating the pricing power luxury commands. This is the defining economic characteristic of true luxury goods: they are largely inflation-proof because consumers prioritise aspiration over price sensitivity.</t>
  </si>
  <si>
    <t>China's CPI remained exceptionally low in 2023 (0.23%) and 2024 (0.22%) while LVMH reported slowing growth in the same period. This correlation suggests China demand softening was a volume problem, not a price problem: Chinese consumers were buying less, not because prices rose, but because economic sentiment deteriorated post-COVID reopening. This has significant implications for LVMH's Asia strategy.</t>
  </si>
  <si>
    <t>LVMH's core strength is its ability to grow revenues faster than inflation across economic cycles. The 2022-2024 deceleration, especially in Fashion &amp; Leather, coincides with peak Western inflation and China's economic slowdown simultaneously. A recovery in Chinese consumer confidence or a further easing of Western inflation would likely catalyse the next growth phase. Selective Retailing shows the most inflation sensitivity, suggesting this segment warrants a different strategic lens.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</si>
</sst>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1A1A1A"/>
      <name val="Arial"/>
      <family val="2"/>
    </font>
    <font>
      <b/>
      <sz val="10"/>
      <color rgb="FF1A1A1A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theme="9" tint="-0.499984740745262"/>
      <name val="Arial"/>
      <family val="2"/>
    </font>
    <font>
      <sz val="11"/>
      <color theme="9" tint="-0.499984740745262"/>
      <name val="Aptos Narrow"/>
      <family val="2"/>
      <scheme val="minor"/>
    </font>
    <font>
      <sz val="9"/>
      <name val="Arial"/>
      <family val="2"/>
    </font>
    <font>
      <sz val="10"/>
      <color theme="9" tint="-0.499984740745262"/>
      <name val="Arial"/>
      <family val="2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rgb="FF878787"/>
      </patternFill>
    </fill>
    <fill>
      <patternFill patternType="solid">
        <fgColor theme="9"/>
        <bgColor rgb="FF333300"/>
      </patternFill>
    </fill>
    <fill>
      <patternFill patternType="solid">
        <fgColor theme="9" tint="0.79998168889431442"/>
        <bgColor rgb="FFE8E6E0"/>
      </patternFill>
    </fill>
    <fill>
      <patternFill patternType="solid">
        <fgColor theme="9" tint="0.59999389629810485"/>
        <bgColor rgb="FF3333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9A7B3E"/>
      </bottom>
      <diagonal/>
    </border>
    <border>
      <left style="thin">
        <color rgb="FF9A7B3E"/>
      </left>
      <right style="thin">
        <color rgb="FF9A7B3E"/>
      </right>
      <top style="thin">
        <color rgb="FF9A7B3E"/>
      </top>
      <bottom style="thin">
        <color rgb="FF9A7B3E"/>
      </bottom>
      <diagonal/>
    </border>
    <border>
      <left style="thin">
        <color rgb="FFE8E6E0"/>
      </left>
      <right style="thin">
        <color rgb="FFE8E6E0"/>
      </right>
      <top style="thin">
        <color rgb="FFE8E6E0"/>
      </top>
      <bottom style="thin">
        <color rgb="FFE8E6E0"/>
      </bottom>
      <diagonal/>
    </border>
    <border>
      <left style="thin">
        <color rgb="FFE8E6E0"/>
      </left>
      <right style="thin">
        <color rgb="FFE8E6E0"/>
      </right>
      <top style="thin">
        <color rgb="FFE8E6E0"/>
      </top>
      <bottom/>
      <diagonal/>
    </border>
    <border>
      <left style="thin">
        <color rgb="FFE8E6E0"/>
      </left>
      <right style="thin">
        <color rgb="FFE8E6E0"/>
      </right>
      <top/>
      <bottom style="thin">
        <color rgb="FFE8E6E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8E6E0"/>
      </left>
      <right/>
      <top style="thin">
        <color rgb="FFE8E6E0"/>
      </top>
      <bottom style="thin">
        <color rgb="FFE8E6E0"/>
      </bottom>
      <diagonal/>
    </border>
    <border>
      <left/>
      <right style="thin">
        <color rgb="FFE8E6E0"/>
      </right>
      <top style="thin">
        <color rgb="FFE8E6E0"/>
      </top>
      <bottom style="thin">
        <color rgb="FFE8E6E0"/>
      </bottom>
      <diagonal/>
    </border>
    <border>
      <left style="thin">
        <color rgb="FF9A7B3E"/>
      </left>
      <right style="thin">
        <color rgb="FF9A7B3E"/>
      </right>
      <top style="thin">
        <color rgb="FF9A7B3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E8E6E0"/>
      </bottom>
      <diagonal/>
    </border>
    <border>
      <left style="thin">
        <color indexed="64"/>
      </left>
      <right style="thin">
        <color indexed="64"/>
      </right>
      <top style="thin">
        <color rgb="FFE8E6E0"/>
      </top>
      <bottom style="thin">
        <color rgb="FFE8E6E0"/>
      </bottom>
      <diagonal/>
    </border>
    <border>
      <left style="thin">
        <color indexed="64"/>
      </left>
      <right style="thin">
        <color indexed="64"/>
      </right>
      <top style="thin">
        <color rgb="FFE8E6E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4" fillId="3" borderId="0" xfId="0" applyFont="1" applyFill="1"/>
    <xf numFmtId="0" fontId="7" fillId="5" borderId="3" xfId="0" applyFont="1" applyFill="1" applyBorder="1" applyAlignment="1">
      <alignment horizontal="center" vertical="center"/>
    </xf>
    <xf numFmtId="0" fontId="6" fillId="7" borderId="4" xfId="0" applyFont="1" applyFill="1" applyBorder="1"/>
    <xf numFmtId="164" fontId="6" fillId="7" borderId="4" xfId="0" applyNumberFormat="1" applyFont="1" applyFill="1" applyBorder="1" applyAlignment="1">
      <alignment horizontal="right" vertical="center"/>
    </xf>
    <xf numFmtId="164" fontId="7" fillId="7" borderId="3" xfId="0" applyNumberFormat="1" applyFont="1" applyFill="1" applyBorder="1" applyAlignment="1">
      <alignment horizontal="right" vertical="center"/>
    </xf>
    <xf numFmtId="0" fontId="10" fillId="0" borderId="0" xfId="0" applyFont="1"/>
    <xf numFmtId="0" fontId="4" fillId="0" borderId="0" xfId="0" applyFont="1"/>
    <xf numFmtId="0" fontId="9" fillId="0" borderId="7" xfId="0" applyFont="1" applyBorder="1"/>
    <xf numFmtId="3" fontId="9" fillId="0" borderId="8" xfId="0" applyNumberFormat="1" applyFont="1" applyBorder="1" applyAlignment="1">
      <alignment horizontal="right" vertical="center"/>
    </xf>
    <xf numFmtId="3" fontId="9" fillId="0" borderId="9" xfId="0" applyNumberFormat="1" applyFont="1" applyBorder="1" applyAlignment="1">
      <alignment horizontal="right" vertical="center"/>
    </xf>
    <xf numFmtId="0" fontId="7" fillId="5" borderId="12" xfId="0" applyFont="1" applyFill="1" applyBorder="1" applyAlignment="1">
      <alignment horizontal="center" vertical="center"/>
    </xf>
    <xf numFmtId="0" fontId="5" fillId="0" borderId="4" xfId="0" applyFont="1" applyBorder="1"/>
    <xf numFmtId="164" fontId="5" fillId="0" borderId="4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0" fontId="6" fillId="0" borderId="4" xfId="0" applyFont="1" applyBorder="1"/>
    <xf numFmtId="3" fontId="0" fillId="0" borderId="4" xfId="0" applyNumberFormat="1" applyBorder="1" applyAlignment="1">
      <alignment horizontal="right" vertical="center"/>
    </xf>
    <xf numFmtId="0" fontId="11" fillId="0" borderId="5" xfId="0" applyFont="1" applyBorder="1"/>
    <xf numFmtId="2" fontId="11" fillId="0" borderId="5" xfId="0" applyNumberFormat="1" applyFont="1" applyBorder="1" applyAlignment="1">
      <alignment horizontal="right" vertical="center"/>
    </xf>
    <xf numFmtId="0" fontId="9" fillId="0" borderId="6" xfId="0" applyFont="1" applyBorder="1"/>
    <xf numFmtId="0" fontId="10" fillId="0" borderId="6" xfId="0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164" fontId="12" fillId="0" borderId="13" xfId="0" applyNumberFormat="1" applyFont="1" applyBorder="1" applyAlignment="1">
      <alignment horizontal="right" vertical="center"/>
    </xf>
    <xf numFmtId="164" fontId="0" fillId="0" borderId="11" xfId="0" applyNumberFormat="1" applyBorder="1" applyAlignment="1">
      <alignment horizontal="right" vertical="center"/>
    </xf>
    <xf numFmtId="0" fontId="11" fillId="0" borderId="4" xfId="0" applyFont="1" applyBorder="1"/>
    <xf numFmtId="164" fontId="12" fillId="0" borderId="14" xfId="0" applyNumberFormat="1" applyFont="1" applyBorder="1" applyAlignment="1">
      <alignment horizontal="right" vertical="center"/>
    </xf>
    <xf numFmtId="164" fontId="12" fillId="0" borderId="15" xfId="0" applyNumberFormat="1" applyFont="1" applyBorder="1" applyAlignment="1">
      <alignment horizontal="right" vertical="center"/>
    </xf>
    <xf numFmtId="0" fontId="7" fillId="8" borderId="0" xfId="0" applyFont="1" applyFill="1"/>
    <xf numFmtId="0" fontId="5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center" wrapText="1"/>
    </xf>
    <xf numFmtId="0" fontId="0" fillId="0" borderId="17" xfId="0" applyBorder="1"/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0" fillId="0" borderId="18" xfId="0" applyBorder="1" applyAlignment="1">
      <alignment wrapText="1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8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CPI Inflation Rates: Key LVMH Markets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[1]Charts!$B$30</c:f>
              <c:strCache>
                <c:ptCount val="1"/>
                <c:pt idx="0">
                  <c:v>China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[1]Charts!$A$31:$A$37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[1]Charts!$B$31:$B$37</c:f>
              <c:numCache>
                <c:formatCode>General</c:formatCode>
                <c:ptCount val="7"/>
                <c:pt idx="0">
                  <c:v>2.0699999999999998</c:v>
                </c:pt>
                <c:pt idx="1">
                  <c:v>2.9</c:v>
                </c:pt>
                <c:pt idx="2">
                  <c:v>2.42</c:v>
                </c:pt>
                <c:pt idx="3">
                  <c:v>0.98</c:v>
                </c:pt>
                <c:pt idx="4">
                  <c:v>1.97</c:v>
                </c:pt>
                <c:pt idx="5">
                  <c:v>0.23</c:v>
                </c:pt>
                <c:pt idx="6">
                  <c:v>0.22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C0-4BCD-B00E-32F5D1238536}"/>
            </c:ext>
          </c:extLst>
        </c:ser>
        <c:ser>
          <c:idx val="1"/>
          <c:order val="1"/>
          <c:tx>
            <c:strRef>
              <c:f>[1]Charts!$C$30</c:f>
              <c:strCache>
                <c:ptCount val="1"/>
                <c:pt idx="0">
                  <c:v>France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[1]Charts!$A$31:$A$37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[1]Charts!$C$31:$C$37</c:f>
              <c:numCache>
                <c:formatCode>General</c:formatCode>
                <c:ptCount val="7"/>
                <c:pt idx="0">
                  <c:v>1.85</c:v>
                </c:pt>
                <c:pt idx="1">
                  <c:v>1.1100000000000001</c:v>
                </c:pt>
                <c:pt idx="2">
                  <c:v>0.48</c:v>
                </c:pt>
                <c:pt idx="3">
                  <c:v>1.64</c:v>
                </c:pt>
                <c:pt idx="4">
                  <c:v>5.22</c:v>
                </c:pt>
                <c:pt idx="5">
                  <c:v>4.88</c:v>
                </c:pt>
                <c:pt idx="6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C0-4BCD-B00E-32F5D1238536}"/>
            </c:ext>
          </c:extLst>
        </c:ser>
        <c:ser>
          <c:idx val="2"/>
          <c:order val="2"/>
          <c:tx>
            <c:strRef>
              <c:f>[1]Charts!$D$30</c:f>
              <c:strCache>
                <c:ptCount val="1"/>
                <c:pt idx="0">
                  <c:v>Japan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[1]Charts!$A$31:$A$37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[1]Charts!$D$31:$D$37</c:f>
              <c:numCache>
                <c:formatCode>General</c:formatCode>
                <c:ptCount val="7"/>
                <c:pt idx="0">
                  <c:v>0.99</c:v>
                </c:pt>
                <c:pt idx="1">
                  <c:v>0.47</c:v>
                </c:pt>
                <c:pt idx="2">
                  <c:v>-0.02</c:v>
                </c:pt>
                <c:pt idx="3">
                  <c:v>-0.23</c:v>
                </c:pt>
                <c:pt idx="4">
                  <c:v>2.5</c:v>
                </c:pt>
                <c:pt idx="5">
                  <c:v>3.27</c:v>
                </c:pt>
                <c:pt idx="6">
                  <c:v>2.74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DC0-4BCD-B00E-32F5D1238536}"/>
            </c:ext>
          </c:extLst>
        </c:ser>
        <c:ser>
          <c:idx val="3"/>
          <c:order val="3"/>
          <c:tx>
            <c:strRef>
              <c:f>[1]Charts!$E$30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[1]Charts!$A$31:$A$37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[1]Charts!$E$31:$E$37</c:f>
              <c:numCache>
                <c:formatCode>General</c:formatCode>
                <c:ptCount val="7"/>
                <c:pt idx="0">
                  <c:v>2.44</c:v>
                </c:pt>
                <c:pt idx="1">
                  <c:v>1.81</c:v>
                </c:pt>
                <c:pt idx="2">
                  <c:v>1.23</c:v>
                </c:pt>
                <c:pt idx="3">
                  <c:v>4.7</c:v>
                </c:pt>
                <c:pt idx="4">
                  <c:v>8</c:v>
                </c:pt>
                <c:pt idx="5">
                  <c:v>4.12</c:v>
                </c:pt>
                <c:pt idx="6">
                  <c:v>2.95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DC0-4BCD-B00E-32F5D1238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</a:ln>
            <a:effectLst/>
          </c:spPr>
        </c:hiLowLines>
        <c:smooth val="0"/>
        <c:axId val="75636819"/>
        <c:axId val="70637629"/>
      </c:lineChart>
      <c:catAx>
        <c:axId val="756368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7629"/>
        <c:crosses val="autoZero"/>
        <c:auto val="1"/>
        <c:lblAlgn val="ctr"/>
        <c:lblOffset val="100"/>
        <c:noMultiLvlLbl val="0"/>
      </c:catAx>
      <c:valAx>
        <c:axId val="7063762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3681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Nominal</a:t>
            </a:r>
            <a:r>
              <a:rPr lang="en-US" baseline="0"/>
              <a:t> vs Real Revenue (France CPI Adjusted)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Charts!$L$2</c:f>
              <c:strCache>
                <c:ptCount val="1"/>
                <c:pt idx="0">
                  <c:v>Nominal (Euro millions)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Charts!$K$3:$K$9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Charts!$L$3:$L$9</c:f>
              <c:numCache>
                <c:formatCode>#,##0</c:formatCode>
                <c:ptCount val="7"/>
                <c:pt idx="0">
                  <c:v>46055</c:v>
                </c:pt>
                <c:pt idx="1">
                  <c:v>53844</c:v>
                </c:pt>
                <c:pt idx="2">
                  <c:v>44721</c:v>
                </c:pt>
                <c:pt idx="3">
                  <c:v>64196</c:v>
                </c:pt>
                <c:pt idx="4">
                  <c:v>78902</c:v>
                </c:pt>
                <c:pt idx="5">
                  <c:v>85829</c:v>
                </c:pt>
                <c:pt idx="6">
                  <c:v>84179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A-4B7C-A5E7-1375FBCEAEE9}"/>
            </c:ext>
          </c:extLst>
        </c:ser>
        <c:ser>
          <c:idx val="1"/>
          <c:order val="1"/>
          <c:tx>
            <c:strRef>
              <c:f>Charts!$M$2</c:f>
              <c:strCache>
                <c:ptCount val="1"/>
                <c:pt idx="0">
                  <c:v>Real 2018 (Euro millions)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Charts!$K$3:$K$9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Charts!$M$3:$M$9</c:f>
              <c:numCache>
                <c:formatCode>#,##0</c:formatCode>
                <c:ptCount val="7"/>
                <c:pt idx="0">
                  <c:v>46055</c:v>
                </c:pt>
                <c:pt idx="1">
                  <c:v>53254</c:v>
                </c:pt>
                <c:pt idx="2">
                  <c:v>44021</c:v>
                </c:pt>
                <c:pt idx="3">
                  <c:v>62170</c:v>
                </c:pt>
                <c:pt idx="4">
                  <c:v>72620</c:v>
                </c:pt>
                <c:pt idx="5">
                  <c:v>75321</c:v>
                </c:pt>
                <c:pt idx="6">
                  <c:v>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EA-4B7C-A5E7-1375FBCEA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101567"/>
        <c:axId val="958099167"/>
      </c:lineChart>
      <c:catAx>
        <c:axId val="95810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99167"/>
        <c:crosses val="autoZero"/>
        <c:auto val="1"/>
        <c:lblAlgn val="ctr"/>
        <c:lblOffset val="100"/>
        <c:noMultiLvlLbl val="0"/>
      </c:catAx>
      <c:valAx>
        <c:axId val="95809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Business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Wines and Spirits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Charts!$A$3:$A$9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Charts!$B$3:$B$9</c:f>
              <c:numCache>
                <c:formatCode>#,##0</c:formatCode>
                <c:ptCount val="7"/>
                <c:pt idx="0">
                  <c:v>4863</c:v>
                </c:pt>
                <c:pt idx="1">
                  <c:v>5576</c:v>
                </c:pt>
                <c:pt idx="2">
                  <c:v>4755</c:v>
                </c:pt>
                <c:pt idx="3">
                  <c:v>5974</c:v>
                </c:pt>
                <c:pt idx="4">
                  <c:v>7099</c:v>
                </c:pt>
                <c:pt idx="5">
                  <c:v>6602</c:v>
                </c:pt>
                <c:pt idx="6">
                  <c:v>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E-44FA-B34A-8E69EC2058D6}"/>
            </c:ext>
          </c:extLst>
        </c:ser>
        <c:ser>
          <c:idx val="1"/>
          <c:order val="1"/>
          <c:tx>
            <c:strRef>
              <c:f>Charts!$C$2</c:f>
              <c:strCache>
                <c:ptCount val="1"/>
                <c:pt idx="0">
                  <c:v>Fashion &amp; Leather Goods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Charts!$A$3:$A$9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Charts!$C$3:$C$9</c:f>
              <c:numCache>
                <c:formatCode>#,##0</c:formatCode>
                <c:ptCount val="7"/>
                <c:pt idx="0">
                  <c:v>18455</c:v>
                </c:pt>
                <c:pt idx="1">
                  <c:v>22237</c:v>
                </c:pt>
                <c:pt idx="2">
                  <c:v>21207</c:v>
                </c:pt>
                <c:pt idx="3">
                  <c:v>30896</c:v>
                </c:pt>
                <c:pt idx="4">
                  <c:v>38648</c:v>
                </c:pt>
                <c:pt idx="5">
                  <c:v>42169</c:v>
                </c:pt>
                <c:pt idx="6">
                  <c:v>41060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E-44FA-B34A-8E69EC2058D6}"/>
            </c:ext>
          </c:extLst>
        </c:ser>
        <c:ser>
          <c:idx val="2"/>
          <c:order val="2"/>
          <c:tx>
            <c:strRef>
              <c:f>Charts!$D$2</c:f>
              <c:strCache>
                <c:ptCount val="1"/>
                <c:pt idx="0">
                  <c:v>Perfumes &amp; Cosmetics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Charts!$A$3:$A$9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Charts!$D$3:$D$9</c:f>
              <c:numCache>
                <c:formatCode>#,##0</c:formatCode>
                <c:ptCount val="7"/>
                <c:pt idx="0">
                  <c:v>4968</c:v>
                </c:pt>
                <c:pt idx="1">
                  <c:v>6835</c:v>
                </c:pt>
                <c:pt idx="2">
                  <c:v>5248</c:v>
                </c:pt>
                <c:pt idx="3">
                  <c:v>6608</c:v>
                </c:pt>
                <c:pt idx="4">
                  <c:v>7722</c:v>
                </c:pt>
                <c:pt idx="5">
                  <c:v>8271</c:v>
                </c:pt>
                <c:pt idx="6">
                  <c:v>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E-44FA-B34A-8E69EC2058D6}"/>
            </c:ext>
          </c:extLst>
        </c:ser>
        <c:ser>
          <c:idx val="3"/>
          <c:order val="3"/>
          <c:tx>
            <c:strRef>
              <c:f>Charts!$E$2</c:f>
              <c:strCache>
                <c:ptCount val="1"/>
                <c:pt idx="0">
                  <c:v>Watches &amp; Jewelry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Charts!$A$3:$A$9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Charts!$E$3:$E$9</c:f>
              <c:numCache>
                <c:formatCode>#,##0</c:formatCode>
                <c:ptCount val="7"/>
                <c:pt idx="0">
                  <c:v>4123</c:v>
                </c:pt>
                <c:pt idx="1">
                  <c:v>4405</c:v>
                </c:pt>
                <c:pt idx="2">
                  <c:v>3356</c:v>
                </c:pt>
                <c:pt idx="3">
                  <c:v>8964</c:v>
                </c:pt>
                <c:pt idx="4">
                  <c:v>10581</c:v>
                </c:pt>
                <c:pt idx="5">
                  <c:v>10902</c:v>
                </c:pt>
                <c:pt idx="6">
                  <c:v>10577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E-44FA-B34A-8E69EC2058D6}"/>
            </c:ext>
          </c:extLst>
        </c:ser>
        <c:ser>
          <c:idx val="4"/>
          <c:order val="4"/>
          <c:tx>
            <c:strRef>
              <c:f>Charts!$F$2</c:f>
              <c:strCache>
                <c:ptCount val="1"/>
                <c:pt idx="0">
                  <c:v>Selective Retailing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Charts!$A$3:$A$9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Charts!$F$3:$F$9</c:f>
              <c:numCache>
                <c:formatCode>#,##0</c:formatCode>
                <c:ptCount val="7"/>
                <c:pt idx="0">
                  <c:v>13646</c:v>
                </c:pt>
                <c:pt idx="1">
                  <c:v>14791</c:v>
                </c:pt>
                <c:pt idx="2">
                  <c:v>10155</c:v>
                </c:pt>
                <c:pt idx="3">
                  <c:v>11754</c:v>
                </c:pt>
                <c:pt idx="4">
                  <c:v>14852</c:v>
                </c:pt>
                <c:pt idx="5">
                  <c:v>17885</c:v>
                </c:pt>
                <c:pt idx="6">
                  <c:v>18262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3E-44FA-B34A-8E69EC205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8148127"/>
        <c:axId val="958155807"/>
      </c:barChart>
      <c:catAx>
        <c:axId val="95814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55807"/>
        <c:crosses val="autoZero"/>
        <c:auto val="1"/>
        <c:lblAlgn val="ctr"/>
        <c:lblOffset val="100"/>
        <c:noMultiLvlLbl val="0"/>
      </c:catAx>
      <c:valAx>
        <c:axId val="95815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4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498928</xdr:colOff>
      <xdr:row>38</xdr:row>
      <xdr:rowOff>136070</xdr:rowOff>
    </xdr:from>
    <xdr:to>
      <xdr:col>5</xdr:col>
      <xdr:colOff>566974</xdr:colOff>
      <xdr:row>67</xdr:row>
      <xdr:rowOff>17212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A75DC4-6E25-418B-9B87-5758FBC28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319163</xdr:colOff>
      <xdr:row>11</xdr:row>
      <xdr:rowOff>154216</xdr:rowOff>
    </xdr:from>
    <xdr:to>
      <xdr:col>14</xdr:col>
      <xdr:colOff>571500</xdr:colOff>
      <xdr:row>32</xdr:row>
      <xdr:rowOff>172358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F25E40-FA7A-FFC4-EA52-E25E4A997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174625</xdr:colOff>
      <xdr:row>11</xdr:row>
      <xdr:rowOff>102508</xdr:rowOff>
    </xdr:from>
    <xdr:to>
      <xdr:col>5</xdr:col>
      <xdr:colOff>1338036</xdr:colOff>
      <xdr:row>36</xdr:row>
      <xdr:rowOff>68035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F03FCC-3670-5A4A-A9B2-D07BA258B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LVMH_Inflation_Analysis_YashaswiGoyal.xlsx" TargetMode="External"/><Relationship Id="rId1" Type="http://schemas.openxmlformats.org/officeDocument/2006/relationships/externalLinkPath" Target="LVMH_Inflation_Analysis_YashaswiGoy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Analysis"/>
      <sheetName val="Charts"/>
      <sheetName val="Key Findings"/>
    </sheetNames>
    <sheetDataSet>
      <sheetData sheetId="0">
        <row r="3">
          <cell r="B3">
            <v>4863</v>
          </cell>
          <cell r="C3">
            <v>18455</v>
          </cell>
          <cell r="D3">
            <v>4968</v>
          </cell>
          <cell r="E3">
            <v>4123</v>
          </cell>
          <cell r="F3">
            <v>13646</v>
          </cell>
          <cell r="G3">
            <v>46055</v>
          </cell>
        </row>
        <row r="4">
          <cell r="B4">
            <v>5576</v>
          </cell>
          <cell r="C4">
            <v>22237</v>
          </cell>
          <cell r="D4">
            <v>6835</v>
          </cell>
          <cell r="E4">
            <v>4405</v>
          </cell>
          <cell r="F4">
            <v>14791</v>
          </cell>
          <cell r="G4">
            <v>53844</v>
          </cell>
        </row>
        <row r="5">
          <cell r="B5">
            <v>4755</v>
          </cell>
          <cell r="C5">
            <v>21207</v>
          </cell>
          <cell r="D5">
            <v>5248</v>
          </cell>
          <cell r="E5">
            <v>3356</v>
          </cell>
          <cell r="F5">
            <v>10155</v>
          </cell>
          <cell r="G5">
            <v>44721</v>
          </cell>
        </row>
        <row r="6">
          <cell r="B6">
            <v>5974</v>
          </cell>
          <cell r="C6">
            <v>30896</v>
          </cell>
          <cell r="D6">
            <v>6608</v>
          </cell>
          <cell r="E6">
            <v>8964</v>
          </cell>
          <cell r="F6">
            <v>11754</v>
          </cell>
          <cell r="G6">
            <v>64196</v>
          </cell>
        </row>
        <row r="7">
          <cell r="B7">
            <v>7099</v>
          </cell>
          <cell r="C7">
            <v>38648</v>
          </cell>
          <cell r="D7">
            <v>7722</v>
          </cell>
          <cell r="E7">
            <v>10581</v>
          </cell>
          <cell r="F7">
            <v>14852</v>
          </cell>
          <cell r="G7">
            <v>78902</v>
          </cell>
        </row>
        <row r="8">
          <cell r="B8">
            <v>6602</v>
          </cell>
          <cell r="C8">
            <v>42169</v>
          </cell>
          <cell r="D8">
            <v>8271</v>
          </cell>
          <cell r="E8">
            <v>10902</v>
          </cell>
          <cell r="F8">
            <v>17885</v>
          </cell>
          <cell r="G8">
            <v>85829</v>
          </cell>
        </row>
        <row r="9">
          <cell r="B9">
            <v>5862</v>
          </cell>
          <cell r="C9">
            <v>41060</v>
          </cell>
          <cell r="D9">
            <v>8418</v>
          </cell>
          <cell r="E9">
            <v>10577</v>
          </cell>
          <cell r="F9">
            <v>18262</v>
          </cell>
          <cell r="G9">
            <v>84179</v>
          </cell>
        </row>
        <row r="13">
          <cell r="C13">
            <v>2.9</v>
          </cell>
          <cell r="D13">
            <v>2.42</v>
          </cell>
          <cell r="E13">
            <v>0.98</v>
          </cell>
          <cell r="F13">
            <v>1.97</v>
          </cell>
          <cell r="G13">
            <v>0.23</v>
          </cell>
          <cell r="H13">
            <v>0.22</v>
          </cell>
        </row>
        <row r="14">
          <cell r="C14">
            <v>1.1100000000000001</v>
          </cell>
          <cell r="D14">
            <v>0.48</v>
          </cell>
          <cell r="E14">
            <v>1.64</v>
          </cell>
          <cell r="F14">
            <v>5.22</v>
          </cell>
          <cell r="G14">
            <v>4.88</v>
          </cell>
          <cell r="H14">
            <v>2</v>
          </cell>
        </row>
        <row r="15">
          <cell r="C15">
            <v>0.47</v>
          </cell>
          <cell r="D15">
            <v>-0.02</v>
          </cell>
          <cell r="E15">
            <v>-0.23</v>
          </cell>
          <cell r="F15">
            <v>2.5</v>
          </cell>
          <cell r="G15">
            <v>3.27</v>
          </cell>
          <cell r="H15">
            <v>2.74</v>
          </cell>
        </row>
        <row r="16">
          <cell r="C16">
            <v>1.81</v>
          </cell>
          <cell r="D16">
            <v>1.23</v>
          </cell>
          <cell r="E16">
            <v>4.7</v>
          </cell>
          <cell r="F16">
            <v>8</v>
          </cell>
          <cell r="G16">
            <v>4.12</v>
          </cell>
          <cell r="H16">
            <v>2.95</v>
          </cell>
        </row>
      </sheetData>
      <sheetData sheetId="1"/>
      <sheetData sheetId="2">
        <row r="30">
          <cell r="B30" t="str">
            <v>China</v>
          </cell>
          <cell r="C30" t="str">
            <v>France</v>
          </cell>
          <cell r="D30" t="str">
            <v>Japan</v>
          </cell>
          <cell r="E30" t="str">
            <v>United States</v>
          </cell>
        </row>
        <row r="31">
          <cell r="A31">
            <v>2018</v>
          </cell>
          <cell r="B31">
            <v>2.0699999999999998</v>
          </cell>
          <cell r="C31">
            <v>1.85</v>
          </cell>
          <cell r="D31">
            <v>0.99</v>
          </cell>
          <cell r="E31">
            <v>2.44</v>
          </cell>
        </row>
        <row r="32">
          <cell r="A32">
            <v>2019</v>
          </cell>
          <cell r="B32">
            <v>2.9</v>
          </cell>
          <cell r="C32">
            <v>1.1100000000000001</v>
          </cell>
          <cell r="D32">
            <v>0.47</v>
          </cell>
          <cell r="E32">
            <v>1.81</v>
          </cell>
        </row>
        <row r="33">
          <cell r="A33">
            <v>2020</v>
          </cell>
          <cell r="B33">
            <v>2.42</v>
          </cell>
          <cell r="C33">
            <v>0.48</v>
          </cell>
          <cell r="D33">
            <v>-0.02</v>
          </cell>
          <cell r="E33">
            <v>1.23</v>
          </cell>
        </row>
        <row r="34">
          <cell r="A34">
            <v>2021</v>
          </cell>
          <cell r="B34">
            <v>0.98</v>
          </cell>
          <cell r="C34">
            <v>1.64</v>
          </cell>
          <cell r="D34">
            <v>-0.23</v>
          </cell>
          <cell r="E34">
            <v>4.7</v>
          </cell>
        </row>
        <row r="35">
          <cell r="A35">
            <v>2022</v>
          </cell>
          <cell r="B35">
            <v>1.97</v>
          </cell>
          <cell r="C35">
            <v>5.22</v>
          </cell>
          <cell r="D35">
            <v>2.5</v>
          </cell>
          <cell r="E35">
            <v>8</v>
          </cell>
        </row>
        <row r="36">
          <cell r="A36">
            <v>2023</v>
          </cell>
          <cell r="B36">
            <v>0.23</v>
          </cell>
          <cell r="C36">
            <v>4.88</v>
          </cell>
          <cell r="D36">
            <v>3.27</v>
          </cell>
          <cell r="E36">
            <v>4.12</v>
          </cell>
        </row>
        <row r="37">
          <cell r="A37">
            <v>2024</v>
          </cell>
          <cell r="B37">
            <v>0.22</v>
          </cell>
          <cell r="C37">
            <v>2</v>
          </cell>
          <cell r="D37">
            <v>2.74</v>
          </cell>
          <cell r="E37">
            <v>2.95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8914-AF72-434A-AF4F-A5892FCD87F8}">
  <dimension ref="A1:I21"/>
  <sheetViews>
    <sheetView workbookViewId="0">
      <selection activeCell="A21" sqref="A21"/>
    </sheetView>
  </sheetViews>
  <sheetFormatPr defaultRowHeight="14.5" x14ac:dyDescent="0.35"/>
  <cols>
    <col min="1" max="1" width="14.90625" style="2" customWidth="1"/>
    <col min="2" max="2" width="19.81640625" style="3" customWidth="1"/>
    <col min="3" max="3" width="25.26953125" style="3" customWidth="1"/>
    <col min="4" max="4" width="21.6328125" style="3" customWidth="1"/>
    <col min="5" max="5" width="19.26953125" style="3" customWidth="1"/>
    <col min="6" max="6" width="17.453125" style="3" customWidth="1"/>
    <col min="7" max="9" width="8.7265625" style="3"/>
  </cols>
  <sheetData>
    <row r="1" spans="1:9" s="7" customFormat="1" x14ac:dyDescent="0.35">
      <c r="A1" s="49" t="s">
        <v>10</v>
      </c>
      <c r="B1" s="49"/>
      <c r="C1" s="49"/>
      <c r="D1" s="49"/>
      <c r="E1" s="49"/>
      <c r="F1" s="49"/>
      <c r="G1" s="49"/>
      <c r="H1" s="49"/>
      <c r="I1" s="49"/>
    </row>
    <row r="2" spans="1:9" s="5" customFormat="1" ht="15" customHeight="1" x14ac:dyDescent="0.35">
      <c r="A2" s="4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1:9" x14ac:dyDescent="0.35">
      <c r="A3" s="2">
        <v>2018</v>
      </c>
      <c r="B3" s="6">
        <v>4863</v>
      </c>
      <c r="C3" s="6">
        <v>18455</v>
      </c>
      <c r="D3" s="6">
        <v>4968</v>
      </c>
      <c r="E3" s="6">
        <v>4123</v>
      </c>
      <c r="F3" s="6">
        <v>13646</v>
      </c>
    </row>
    <row r="4" spans="1:9" x14ac:dyDescent="0.35">
      <c r="A4" s="2">
        <v>2019</v>
      </c>
      <c r="B4" s="6">
        <v>5576</v>
      </c>
      <c r="C4" s="6">
        <v>22237</v>
      </c>
      <c r="D4" s="6">
        <v>6835</v>
      </c>
      <c r="E4" s="6">
        <v>4405</v>
      </c>
      <c r="F4" s="6">
        <v>14791</v>
      </c>
    </row>
    <row r="5" spans="1:9" x14ac:dyDescent="0.35">
      <c r="A5" s="2">
        <v>2020</v>
      </c>
      <c r="B5" s="6">
        <v>4755</v>
      </c>
      <c r="C5" s="6">
        <v>21207</v>
      </c>
      <c r="D5" s="6">
        <v>5248</v>
      </c>
      <c r="E5" s="6">
        <v>3356</v>
      </c>
      <c r="F5" s="6">
        <v>10155</v>
      </c>
    </row>
    <row r="6" spans="1:9" x14ac:dyDescent="0.35">
      <c r="A6" s="2">
        <v>2021</v>
      </c>
      <c r="B6" s="6">
        <v>5974</v>
      </c>
      <c r="C6" s="6">
        <v>30896</v>
      </c>
      <c r="D6" s="6">
        <v>6608</v>
      </c>
      <c r="E6" s="6">
        <v>8964</v>
      </c>
      <c r="F6" s="6">
        <v>11754</v>
      </c>
    </row>
    <row r="7" spans="1:9" x14ac:dyDescent="0.35">
      <c r="A7" s="2">
        <v>2022</v>
      </c>
      <c r="B7" s="6">
        <v>7099</v>
      </c>
      <c r="C7" s="6">
        <v>38648</v>
      </c>
      <c r="D7" s="6">
        <v>7722</v>
      </c>
      <c r="E7" s="6">
        <v>10581</v>
      </c>
      <c r="F7" s="6">
        <v>14852</v>
      </c>
    </row>
    <row r="8" spans="1:9" x14ac:dyDescent="0.35">
      <c r="A8" s="2">
        <v>2023</v>
      </c>
      <c r="B8" s="6">
        <v>6602</v>
      </c>
      <c r="C8" s="6">
        <v>42169</v>
      </c>
      <c r="D8" s="6">
        <v>8271</v>
      </c>
      <c r="E8" s="6">
        <v>10902</v>
      </c>
      <c r="F8" s="6">
        <v>17885</v>
      </c>
    </row>
    <row r="9" spans="1:9" x14ac:dyDescent="0.35">
      <c r="A9" s="2">
        <v>2024</v>
      </c>
      <c r="B9" s="6">
        <v>5862</v>
      </c>
      <c r="C9" s="6">
        <v>41060</v>
      </c>
      <c r="D9" s="6">
        <v>8418</v>
      </c>
      <c r="E9" s="6">
        <v>10577</v>
      </c>
      <c r="F9" s="6">
        <v>18262</v>
      </c>
    </row>
    <row r="12" spans="1:9" s="10" customFormat="1" x14ac:dyDescent="0.35">
      <c r="A12" s="49" t="s">
        <v>11</v>
      </c>
      <c r="B12" s="49"/>
      <c r="C12" s="49"/>
      <c r="D12" s="49"/>
      <c r="E12" s="49"/>
      <c r="F12" s="49"/>
      <c r="G12" s="49"/>
      <c r="H12" s="49"/>
      <c r="I12" s="49"/>
    </row>
    <row r="13" spans="1:9" s="9" customFormat="1" x14ac:dyDescent="0.35">
      <c r="A13" s="50" t="s">
        <v>5</v>
      </c>
      <c r="B13" s="50"/>
      <c r="C13" s="8">
        <v>2018</v>
      </c>
      <c r="D13" s="8">
        <v>2019</v>
      </c>
      <c r="E13" s="8">
        <v>2020</v>
      </c>
      <c r="F13" s="8">
        <v>2021</v>
      </c>
      <c r="G13" s="8">
        <v>2022</v>
      </c>
      <c r="H13" s="8">
        <v>2023</v>
      </c>
      <c r="I13" s="8">
        <v>2024</v>
      </c>
    </row>
    <row r="14" spans="1:9" x14ac:dyDescent="0.35">
      <c r="A14" s="48" t="s">
        <v>6</v>
      </c>
      <c r="B14" s="48"/>
      <c r="C14" s="3">
        <v>2.0747903999999999</v>
      </c>
      <c r="D14" s="3">
        <v>2.8992341640000001</v>
      </c>
      <c r="E14" s="3">
        <v>2.4194218950000002</v>
      </c>
      <c r="F14" s="3">
        <v>0.98101513600000001</v>
      </c>
      <c r="G14" s="3">
        <v>1.973575557</v>
      </c>
      <c r="H14" s="3">
        <v>0.234836829</v>
      </c>
      <c r="I14" s="3">
        <v>0.21812893799999999</v>
      </c>
    </row>
    <row r="15" spans="1:9" x14ac:dyDescent="0.35">
      <c r="A15" s="48" t="s">
        <v>7</v>
      </c>
      <c r="B15" s="48"/>
      <c r="C15" s="3">
        <v>1.8508150830000001</v>
      </c>
      <c r="D15" s="3">
        <v>1.1082549230000001</v>
      </c>
      <c r="E15" s="3">
        <v>0.476498853</v>
      </c>
      <c r="F15" s="3">
        <v>1.6423314099999999</v>
      </c>
      <c r="G15" s="3">
        <v>5.2223674840000003</v>
      </c>
      <c r="H15" s="3">
        <v>4.878357265</v>
      </c>
      <c r="I15" s="3">
        <v>1.999049423</v>
      </c>
    </row>
    <row r="16" spans="1:9" x14ac:dyDescent="0.35">
      <c r="A16" s="48" t="s">
        <v>8</v>
      </c>
      <c r="B16" s="48"/>
      <c r="C16" s="3">
        <v>0.98909459799999999</v>
      </c>
      <c r="D16" s="3">
        <v>0.46877615900000003</v>
      </c>
      <c r="E16" s="3">
        <v>-2.4995834000000001E-2</v>
      </c>
      <c r="F16" s="3">
        <v>-0.23335277900000001</v>
      </c>
      <c r="G16" s="3">
        <v>2.4977027820000002</v>
      </c>
      <c r="H16" s="3">
        <v>3.2681336590000001</v>
      </c>
      <c r="I16" s="3">
        <v>2.7385368159999999</v>
      </c>
    </row>
    <row r="17" spans="1:9" x14ac:dyDescent="0.35">
      <c r="A17" s="48" t="s">
        <v>9</v>
      </c>
      <c r="B17" s="48"/>
      <c r="C17" s="3">
        <v>2.4425832970000001</v>
      </c>
      <c r="D17" s="3">
        <v>1.8122100750000001</v>
      </c>
      <c r="E17" s="3">
        <v>1.2335843959999999</v>
      </c>
      <c r="F17" s="3">
        <v>4.6978588639999996</v>
      </c>
      <c r="G17" s="3">
        <v>8.002799821</v>
      </c>
      <c r="H17" s="3">
        <v>4.1163383839999996</v>
      </c>
      <c r="I17" s="3">
        <v>2.949525205</v>
      </c>
    </row>
    <row r="21" spans="1:9" x14ac:dyDescent="0.35">
      <c r="A21" s="39"/>
    </row>
  </sheetData>
  <mergeCells count="7">
    <mergeCell ref="A17:B17"/>
    <mergeCell ref="A12:I12"/>
    <mergeCell ref="A1:I1"/>
    <mergeCell ref="A13:B13"/>
    <mergeCell ref="A14:B14"/>
    <mergeCell ref="A15:B15"/>
    <mergeCell ref="A16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9A04-3462-4E8B-9916-28D3EED8DBEF}">
  <dimension ref="A2:J34"/>
  <sheetViews>
    <sheetView tabSelected="1" topLeftCell="A18" workbookViewId="0">
      <selection activeCell="I20" sqref="I20"/>
    </sheetView>
  </sheetViews>
  <sheetFormatPr defaultRowHeight="14.5" x14ac:dyDescent="0.35"/>
  <cols>
    <col min="1" max="1" width="26.54296875" customWidth="1"/>
    <col min="2" max="2" width="17.1796875" customWidth="1"/>
    <col min="3" max="3" width="13.6328125" customWidth="1"/>
    <col min="4" max="4" width="12.08984375" customWidth="1"/>
    <col min="5" max="5" width="13.90625" customWidth="1"/>
    <col min="6" max="6" width="13.08984375" customWidth="1"/>
    <col min="7" max="8" width="19.54296875" customWidth="1"/>
    <col min="9" max="9" width="24.36328125" customWidth="1"/>
  </cols>
  <sheetData>
    <row r="2" spans="1:8" ht="15" thickBot="1" x14ac:dyDescent="0.4">
      <c r="A2" s="51" t="s">
        <v>12</v>
      </c>
      <c r="B2" s="51"/>
      <c r="C2" s="51"/>
      <c r="D2" s="51"/>
      <c r="E2" s="51"/>
      <c r="F2" s="51"/>
      <c r="G2" s="51"/>
      <c r="H2" s="51"/>
    </row>
    <row r="3" spans="1:8" x14ac:dyDescent="0.35">
      <c r="A3" s="11" t="s">
        <v>13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</row>
    <row r="4" spans="1:8" x14ac:dyDescent="0.35">
      <c r="A4" s="21" t="s">
        <v>14</v>
      </c>
      <c r="B4" s="22">
        <f>('[1]Raw Data'!B4-'[1]Raw Data'!B3)/'[1]Raw Data'!B3</f>
        <v>0.1466173144149702</v>
      </c>
      <c r="C4" s="22">
        <f>('[1]Raw Data'!B5-'[1]Raw Data'!B4)/'[1]Raw Data'!B4</f>
        <v>-0.14723816355810618</v>
      </c>
      <c r="D4" s="22">
        <f>('[1]Raw Data'!B6-'[1]Raw Data'!B5)/'[1]Raw Data'!B5</f>
        <v>0.25636172450052575</v>
      </c>
      <c r="E4" s="22">
        <f>('[1]Raw Data'!B7-'[1]Raw Data'!B6)/'[1]Raw Data'!B6</f>
        <v>0.18831603615667894</v>
      </c>
      <c r="F4" s="22">
        <f>('[1]Raw Data'!B8-'[1]Raw Data'!B7)/'[1]Raw Data'!B7</f>
        <v>-7.0009860543738561E-2</v>
      </c>
      <c r="G4" s="22">
        <f>('[1]Raw Data'!B9-'[1]Raw Data'!B8)/'[1]Raw Data'!B8</f>
        <v>-0.11208724628900334</v>
      </c>
      <c r="H4" s="23">
        <f>('[1]Raw Data'!B9/'[1]Raw Data'!B3)^(1/6)-1</f>
        <v>3.1629115724768786E-2</v>
      </c>
    </row>
    <row r="5" spans="1:8" x14ac:dyDescent="0.35">
      <c r="A5" s="21" t="s">
        <v>15</v>
      </c>
      <c r="B5" s="22">
        <f>('[1]Raw Data'!C4-'[1]Raw Data'!C3)/'[1]Raw Data'!C3</f>
        <v>0.20493091303169872</v>
      </c>
      <c r="C5" s="22">
        <f>('[1]Raw Data'!C5-'[1]Raw Data'!C4)/'[1]Raw Data'!C4</f>
        <v>-4.631919773350722E-2</v>
      </c>
      <c r="D5" s="22">
        <f>('[1]Raw Data'!C6-'[1]Raw Data'!C5)/'[1]Raw Data'!C5</f>
        <v>0.45687744612627906</v>
      </c>
      <c r="E5" s="22">
        <f>('[1]Raw Data'!C7-'[1]Raw Data'!C6)/'[1]Raw Data'!C6</f>
        <v>0.25090626618332468</v>
      </c>
      <c r="F5" s="22">
        <f>('[1]Raw Data'!C8-'[1]Raw Data'!C7)/'[1]Raw Data'!C7</f>
        <v>9.1104326226454146E-2</v>
      </c>
      <c r="G5" s="22">
        <f>('[1]Raw Data'!C9-'[1]Raw Data'!C8)/'[1]Raw Data'!C8</f>
        <v>-2.6298939979605872E-2</v>
      </c>
      <c r="H5" s="23">
        <f>('[1]Raw Data'!C9/'[1]Raw Data'!C3)^(1/6)-1</f>
        <v>0.1425735055573587</v>
      </c>
    </row>
    <row r="6" spans="1:8" x14ac:dyDescent="0.35">
      <c r="A6" s="21" t="s">
        <v>2</v>
      </c>
      <c r="B6" s="22">
        <f>('[1]Raw Data'!D4-'[1]Raw Data'!D3)/'[1]Raw Data'!D3</f>
        <v>0.37580515297906603</v>
      </c>
      <c r="C6" s="22">
        <f>('[1]Raw Data'!D5-'[1]Raw Data'!D4)/'[1]Raw Data'!D4</f>
        <v>-0.2321872713972202</v>
      </c>
      <c r="D6" s="22">
        <f>('[1]Raw Data'!D6-'[1]Raw Data'!D5)/'[1]Raw Data'!D5</f>
        <v>0.25914634146341464</v>
      </c>
      <c r="E6" s="22">
        <f>('[1]Raw Data'!D7-'[1]Raw Data'!D6)/'[1]Raw Data'!D6</f>
        <v>0.16858353510895885</v>
      </c>
      <c r="F6" s="22">
        <f>('[1]Raw Data'!D8-'[1]Raw Data'!D7)/'[1]Raw Data'!D7</f>
        <v>7.1095571095571089E-2</v>
      </c>
      <c r="G6" s="22">
        <f>('[1]Raw Data'!D9-'[1]Raw Data'!D8)/'[1]Raw Data'!D8</f>
        <v>1.7772941603191875E-2</v>
      </c>
      <c r="H6" s="23">
        <f>('[1]Raw Data'!D9/'[1]Raw Data'!D3)^(1/6)-1</f>
        <v>9.1870726096628275E-2</v>
      </c>
    </row>
    <row r="7" spans="1:8" x14ac:dyDescent="0.35">
      <c r="A7" s="21" t="s">
        <v>3</v>
      </c>
      <c r="B7" s="22">
        <f>('[1]Raw Data'!E4-'[1]Raw Data'!E3)/'[1]Raw Data'!E3</f>
        <v>6.8396798447732235E-2</v>
      </c>
      <c r="C7" s="22">
        <f>('[1]Raw Data'!E5-'[1]Raw Data'!E4)/'[1]Raw Data'!E4</f>
        <v>-0.23813847900113508</v>
      </c>
      <c r="D7" s="22">
        <f>('[1]Raw Data'!E6-'[1]Raw Data'!E5)/'[1]Raw Data'!E5</f>
        <v>1.6710369487485102</v>
      </c>
      <c r="E7" s="22">
        <f>('[1]Raw Data'!E7-'[1]Raw Data'!E6)/'[1]Raw Data'!E6</f>
        <v>0.18038821954484605</v>
      </c>
      <c r="F7" s="22">
        <f>('[1]Raw Data'!E8-'[1]Raw Data'!E7)/'[1]Raw Data'!E7</f>
        <v>3.0337397221434647E-2</v>
      </c>
      <c r="G7" s="22">
        <f>('[1]Raw Data'!E9-'[1]Raw Data'!E8)/'[1]Raw Data'!E8</f>
        <v>-2.9811043845166023E-2</v>
      </c>
      <c r="H7" s="23">
        <f>('[1]Raw Data'!E9/'[1]Raw Data'!E3)^(1/6)-1</f>
        <v>0.1700152658234082</v>
      </c>
    </row>
    <row r="8" spans="1:8" x14ac:dyDescent="0.35">
      <c r="A8" s="21" t="s">
        <v>4</v>
      </c>
      <c r="B8" s="22">
        <f>('[1]Raw Data'!F4-'[1]Raw Data'!F3)/'[1]Raw Data'!F3</f>
        <v>8.3907372123699253E-2</v>
      </c>
      <c r="C8" s="22">
        <f>('[1]Raw Data'!F5-'[1]Raw Data'!F4)/'[1]Raw Data'!F4</f>
        <v>-0.31343384490568588</v>
      </c>
      <c r="D8" s="22">
        <f>('[1]Raw Data'!F6-'[1]Raw Data'!F5)/'[1]Raw Data'!F5</f>
        <v>0.15745937961595274</v>
      </c>
      <c r="E8" s="22">
        <f>('[1]Raw Data'!F7-'[1]Raw Data'!F6)/'[1]Raw Data'!F6</f>
        <v>0.26356984856219162</v>
      </c>
      <c r="F8" s="22">
        <f>('[1]Raw Data'!F8-'[1]Raw Data'!F7)/'[1]Raw Data'!F7</f>
        <v>0.20421492054942095</v>
      </c>
      <c r="G8" s="22">
        <f>('[1]Raw Data'!F9-'[1]Raw Data'!F8)/'[1]Raw Data'!F8</f>
        <v>2.1079116578138105E-2</v>
      </c>
      <c r="H8" s="23">
        <f>('[1]Raw Data'!F9/'[1]Raw Data'!F3)^(1/6)-1</f>
        <v>4.9761147758231372E-2</v>
      </c>
    </row>
    <row r="9" spans="1:8" x14ac:dyDescent="0.35">
      <c r="A9" s="12" t="s">
        <v>16</v>
      </c>
      <c r="B9" s="13">
        <f>('[1]Raw Data'!G4-'[1]Raw Data'!G3)/'[1]Raw Data'!G3</f>
        <v>0.16912387362935621</v>
      </c>
      <c r="C9" s="13">
        <f>('[1]Raw Data'!G5-'[1]Raw Data'!G4)/'[1]Raw Data'!G4</f>
        <v>-0.16943392021395143</v>
      </c>
      <c r="D9" s="13">
        <f>('[1]Raw Data'!G6-'[1]Raw Data'!G5)/'[1]Raw Data'!G5</f>
        <v>0.43547773976431653</v>
      </c>
      <c r="E9" s="13">
        <f>('[1]Raw Data'!G7-'[1]Raw Data'!G6)/'[1]Raw Data'!G6</f>
        <v>0.22907969343884355</v>
      </c>
      <c r="F9" s="13">
        <f>('[1]Raw Data'!G8-'[1]Raw Data'!G7)/'[1]Raw Data'!G7</f>
        <v>8.7792451395401885E-2</v>
      </c>
      <c r="G9" s="13">
        <f>('[1]Raw Data'!G9-'[1]Raw Data'!G8)/'[1]Raw Data'!G8</f>
        <v>-1.9224271516620258E-2</v>
      </c>
      <c r="H9" s="14">
        <f>('[1]Raw Data'!G9/'[1]Raw Data'!G3)^(1/6)-1</f>
        <v>0.10574375675549508</v>
      </c>
    </row>
    <row r="11" spans="1:8" ht="15" thickBot="1" x14ac:dyDescent="0.4">
      <c r="A11" s="51" t="s">
        <v>24</v>
      </c>
      <c r="B11" s="51"/>
      <c r="C11" s="51"/>
      <c r="D11" s="51"/>
      <c r="E11" s="51"/>
      <c r="F11" s="51"/>
      <c r="G11" s="51"/>
      <c r="H11" s="51"/>
    </row>
    <row r="12" spans="1:8" x14ac:dyDescent="0.35">
      <c r="A12" s="11" t="s">
        <v>13</v>
      </c>
      <c r="B12" s="11">
        <v>2018</v>
      </c>
      <c r="C12" s="11">
        <v>2019</v>
      </c>
      <c r="D12" s="11">
        <v>2020</v>
      </c>
      <c r="E12" s="11">
        <v>2021</v>
      </c>
      <c r="F12" s="11">
        <v>2022</v>
      </c>
      <c r="G12" s="11">
        <v>2023</v>
      </c>
      <c r="H12" s="11">
        <v>2024</v>
      </c>
    </row>
    <row r="13" spans="1:8" x14ac:dyDescent="0.35">
      <c r="A13" s="21" t="s">
        <v>14</v>
      </c>
      <c r="B13" s="24">
        <f>'[1]Raw Data'!B3/'[1]Raw Data'!G3</f>
        <v>0.10559114102703289</v>
      </c>
      <c r="C13" s="24">
        <f>'[1]Raw Data'!B4/'[1]Raw Data'!G4</f>
        <v>0.10355842805140777</v>
      </c>
      <c r="D13" s="24">
        <f>'[1]Raw Data'!B5/'[1]Raw Data'!G5</f>
        <v>0.1063258871671027</v>
      </c>
      <c r="E13" s="24">
        <f>'[1]Raw Data'!B6/'[1]Raw Data'!G6</f>
        <v>9.3058757554987853E-2</v>
      </c>
      <c r="F13" s="24">
        <f>'[1]Raw Data'!B7/'[1]Raw Data'!G7</f>
        <v>8.9972370789080131E-2</v>
      </c>
      <c r="G13" s="24">
        <f>'[1]Raw Data'!B8/'[1]Raw Data'!G8</f>
        <v>7.6920388213773894E-2</v>
      </c>
      <c r="H13" s="24">
        <f>'[1]Raw Data'!B9/'[1]Raw Data'!G9</f>
        <v>6.9637320471851644E-2</v>
      </c>
    </row>
    <row r="14" spans="1:8" x14ac:dyDescent="0.35">
      <c r="A14" s="21" t="s">
        <v>15</v>
      </c>
      <c r="B14" s="24">
        <f>'[1]Raw Data'!C3/'[1]Raw Data'!G3</f>
        <v>0.40071653457822171</v>
      </c>
      <c r="C14" s="24">
        <f>'[1]Raw Data'!C4/'[1]Raw Data'!G4</f>
        <v>0.41298937671792585</v>
      </c>
      <c r="D14" s="24">
        <f>'[1]Raw Data'!C5/'[1]Raw Data'!G5</f>
        <v>0.47420674850741262</v>
      </c>
      <c r="E14" s="24">
        <f>'[1]Raw Data'!C6/'[1]Raw Data'!G6</f>
        <v>0.48127609196834692</v>
      </c>
      <c r="F14" s="24">
        <f>'[1]Raw Data'!C7/'[1]Raw Data'!G7</f>
        <v>0.48982281817951384</v>
      </c>
      <c r="G14" s="24">
        <f>'[1]Raw Data'!C8/'[1]Raw Data'!G8</f>
        <v>0.49131412459658158</v>
      </c>
      <c r="H14" s="24">
        <f>'[1]Raw Data'!C9/'[1]Raw Data'!G9</f>
        <v>0.48777010893453238</v>
      </c>
    </row>
    <row r="15" spans="1:8" x14ac:dyDescent="0.35">
      <c r="A15" s="21" t="s">
        <v>2</v>
      </c>
      <c r="B15" s="24">
        <f>'[1]Raw Data'!D3/'[1]Raw Data'!G3</f>
        <v>0.1078710237759201</v>
      </c>
      <c r="C15" s="24">
        <f>'[1]Raw Data'!D4/'[1]Raw Data'!G4</f>
        <v>0.12694079191739099</v>
      </c>
      <c r="D15" s="24">
        <f>'[1]Raw Data'!D5/'[1]Raw Data'!G5</f>
        <v>0.11734979092596319</v>
      </c>
      <c r="E15" s="24">
        <f>'[1]Raw Data'!D6/'[1]Raw Data'!G6</f>
        <v>0.10293476229048538</v>
      </c>
      <c r="F15" s="24">
        <f>'[1]Raw Data'!D7/'[1]Raw Data'!G7</f>
        <v>9.78682416161821E-2</v>
      </c>
      <c r="G15" s="24">
        <f>'[1]Raw Data'!D8/'[1]Raw Data'!G8</f>
        <v>9.6366030129676455E-2</v>
      </c>
      <c r="H15" s="24">
        <f>'[1]Raw Data'!D9/'[1]Raw Data'!G9</f>
        <v>0.10000118794473681</v>
      </c>
    </row>
    <row r="16" spans="1:8" x14ac:dyDescent="0.35">
      <c r="A16" s="21" t="s">
        <v>3</v>
      </c>
      <c r="B16" s="24">
        <f>'[1]Raw Data'!E3/'[1]Raw Data'!G3</f>
        <v>8.9523395939637387E-2</v>
      </c>
      <c r="C16" s="24">
        <f>'[1]Raw Data'!E4/'[1]Raw Data'!G4</f>
        <v>8.1810415273753809E-2</v>
      </c>
      <c r="D16" s="24">
        <f>'[1]Raw Data'!E5/'[1]Raw Data'!G5</f>
        <v>7.5043044654636529E-2</v>
      </c>
      <c r="E16" s="24">
        <f>'[1]Raw Data'!E6/'[1]Raw Data'!G6</f>
        <v>0.13963486821608823</v>
      </c>
      <c r="F16" s="24">
        <f>'[1]Raw Data'!E7/'[1]Raw Data'!G7</f>
        <v>0.1341030645611011</v>
      </c>
      <c r="G16" s="24">
        <f>'[1]Raw Data'!E8/'[1]Raw Data'!G8</f>
        <v>0.12702000489345094</v>
      </c>
      <c r="H16" s="24">
        <f>'[1]Raw Data'!E9/'[1]Raw Data'!G9</f>
        <v>0.12564891481248291</v>
      </c>
    </row>
    <row r="17" spans="1:10" x14ac:dyDescent="0.35">
      <c r="A17" s="21" t="s">
        <v>4</v>
      </c>
      <c r="B17" s="24">
        <f>'[1]Raw Data'!F3/'[1]Raw Data'!G3</f>
        <v>0.29629790467918793</v>
      </c>
      <c r="C17" s="24">
        <f>'[1]Raw Data'!F4/'[1]Raw Data'!G4</f>
        <v>0.27470098803952159</v>
      </c>
      <c r="D17" s="24">
        <f>'[1]Raw Data'!F5/'[1]Raw Data'!G5</f>
        <v>0.22707452874488496</v>
      </c>
      <c r="E17" s="24">
        <f>'[1]Raw Data'!F6/'[1]Raw Data'!G6</f>
        <v>0.1830955199700916</v>
      </c>
      <c r="F17" s="24">
        <f>'[1]Raw Data'!F7/'[1]Raw Data'!G7</f>
        <v>0.18823350485412282</v>
      </c>
      <c r="G17" s="24">
        <f>'[1]Raw Data'!F8/'[1]Raw Data'!G8</f>
        <v>0.20837945216651715</v>
      </c>
      <c r="H17" s="24">
        <f>'[1]Raw Data'!F9/'[1]Raw Data'!G9</f>
        <v>0.21694246783639626</v>
      </c>
    </row>
    <row r="20" spans="1:10" ht="15" thickBot="1" x14ac:dyDescent="0.4">
      <c r="A20" s="51" t="s">
        <v>41</v>
      </c>
      <c r="B20" s="51"/>
      <c r="C20" s="51"/>
      <c r="D20" s="51"/>
      <c r="E20" s="51"/>
      <c r="F20" s="51"/>
      <c r="G20" s="51"/>
      <c r="H20" s="51"/>
    </row>
    <row r="21" spans="1:10" x14ac:dyDescent="0.35">
      <c r="A21" s="11" t="s">
        <v>25</v>
      </c>
      <c r="B21" s="11">
        <v>2018</v>
      </c>
      <c r="C21" s="11">
        <v>2019</v>
      </c>
      <c r="D21" s="11">
        <v>2020</v>
      </c>
      <c r="E21" s="11">
        <v>2021</v>
      </c>
      <c r="F21" s="11">
        <v>2022</v>
      </c>
      <c r="G21" s="11">
        <v>2023</v>
      </c>
      <c r="H21" s="11">
        <v>2024</v>
      </c>
    </row>
    <row r="22" spans="1:10" x14ac:dyDescent="0.35">
      <c r="A22" s="25" t="s">
        <v>40</v>
      </c>
      <c r="B22" s="26">
        <f>'[1]Raw Data'!G3</f>
        <v>46055</v>
      </c>
      <c r="C22" s="26">
        <f>'[1]Raw Data'!G4</f>
        <v>53844</v>
      </c>
      <c r="D22" s="26">
        <f>'[1]Raw Data'!G5</f>
        <v>44721</v>
      </c>
      <c r="E22" s="26">
        <f>'[1]Raw Data'!G6</f>
        <v>64196</v>
      </c>
      <c r="F22" s="26">
        <f>'[1]Raw Data'!G7</f>
        <v>78902</v>
      </c>
      <c r="G22" s="26">
        <f>'[1]Raw Data'!G8</f>
        <v>85829</v>
      </c>
      <c r="H22" s="26">
        <f>'[1]Raw Data'!G9</f>
        <v>84179</v>
      </c>
    </row>
    <row r="23" spans="1:10" s="16" customFormat="1" x14ac:dyDescent="0.35">
      <c r="A23" s="27" t="s">
        <v>26</v>
      </c>
      <c r="B23" s="28">
        <v>100</v>
      </c>
      <c r="C23" s="28">
        <v>101.11</v>
      </c>
      <c r="D23" s="28">
        <v>101.59</v>
      </c>
      <c r="E23" s="28">
        <v>103.26</v>
      </c>
      <c r="F23" s="28">
        <v>108.65</v>
      </c>
      <c r="G23" s="28">
        <v>113.95</v>
      </c>
      <c r="H23" s="28">
        <v>116.23</v>
      </c>
    </row>
    <row r="24" spans="1:10" s="15" customFormat="1" x14ac:dyDescent="0.35">
      <c r="A24" s="17" t="s">
        <v>39</v>
      </c>
      <c r="B24" s="18">
        <f t="shared" ref="B24:H24" si="0">B22/(B23/100)</f>
        <v>46055</v>
      </c>
      <c r="C24" s="18">
        <f t="shared" si="0"/>
        <v>53252.892888932853</v>
      </c>
      <c r="D24" s="18">
        <f t="shared" si="0"/>
        <v>44021.065065459195</v>
      </c>
      <c r="E24" s="18">
        <f t="shared" si="0"/>
        <v>62169.281425527799</v>
      </c>
      <c r="F24" s="18">
        <f t="shared" si="0"/>
        <v>72620.340543028069</v>
      </c>
      <c r="G24" s="18">
        <f t="shared" si="0"/>
        <v>75321.632294866169</v>
      </c>
      <c r="H24" s="19">
        <f t="shared" si="0"/>
        <v>72424.503140325207</v>
      </c>
    </row>
    <row r="25" spans="1:10" s="15" customFormat="1" x14ac:dyDescent="0.35">
      <c r="A25" s="29" t="s">
        <v>27</v>
      </c>
      <c r="B25" s="30" t="s">
        <v>38</v>
      </c>
      <c r="C25" s="31">
        <f t="shared" ref="C25:H25" si="1">(C24-B24)/B24</f>
        <v>0.15628906500777012</v>
      </c>
      <c r="D25" s="31">
        <f t="shared" si="1"/>
        <v>-0.17335824070117772</v>
      </c>
      <c r="E25" s="31">
        <f t="shared" si="1"/>
        <v>0.41226209163913363</v>
      </c>
      <c r="F25" s="31">
        <f t="shared" si="1"/>
        <v>0.16810648085131127</v>
      </c>
      <c r="G25" s="31">
        <f t="shared" si="1"/>
        <v>3.719745365608091E-2</v>
      </c>
      <c r="H25" s="31">
        <f t="shared" si="1"/>
        <v>-3.8463440930215038E-2</v>
      </c>
    </row>
    <row r="27" spans="1:10" ht="15" thickBot="1" x14ac:dyDescent="0.4">
      <c r="A27" s="51" t="s">
        <v>28</v>
      </c>
      <c r="B27" s="51"/>
      <c r="C27" s="51"/>
      <c r="D27" s="51"/>
      <c r="E27" s="51"/>
      <c r="F27" s="51"/>
      <c r="G27" s="51"/>
      <c r="H27" s="51"/>
      <c r="I27" s="51"/>
    </row>
    <row r="28" spans="1:10" x14ac:dyDescent="0.35">
      <c r="A28" s="11" t="s">
        <v>29</v>
      </c>
      <c r="B28" s="11" t="s">
        <v>30</v>
      </c>
      <c r="C28" s="11" t="s">
        <v>31</v>
      </c>
      <c r="D28" s="11" t="s">
        <v>32</v>
      </c>
      <c r="E28" s="11" t="s">
        <v>33</v>
      </c>
      <c r="F28" s="11" t="s">
        <v>34</v>
      </c>
      <c r="G28" s="20" t="s">
        <v>48</v>
      </c>
      <c r="H28" s="11" t="s">
        <v>49</v>
      </c>
      <c r="I28" s="11"/>
    </row>
    <row r="29" spans="1:10" x14ac:dyDescent="0.35">
      <c r="A29" s="25" t="s">
        <v>42</v>
      </c>
      <c r="B29" s="24">
        <f>('[1]Raw Data'!G4-'[1]Raw Data'!G3)/'[1]Raw Data'!G3</f>
        <v>0.16912387362935621</v>
      </c>
      <c r="C29" s="24">
        <f>'[1]Raw Data'!C14/100</f>
        <v>1.11E-2</v>
      </c>
      <c r="D29" s="24">
        <f>'[1]Raw Data'!C15/100</f>
        <v>4.6999999999999993E-3</v>
      </c>
      <c r="E29" s="24">
        <f>'[1]Raw Data'!C13/100</f>
        <v>2.8999999999999998E-2</v>
      </c>
      <c r="F29" s="32">
        <f>'[1]Raw Data'!C16/100</f>
        <v>1.8100000000000002E-2</v>
      </c>
      <c r="G29" s="33">
        <f t="shared" ref="G29:G34" si="2">B29-C29</f>
        <v>0.15802387362935622</v>
      </c>
      <c r="H29" s="34">
        <f t="shared" ref="H29:H34" si="3">B29-D29</f>
        <v>0.1644238736293562</v>
      </c>
      <c r="I29" s="35" t="s">
        <v>35</v>
      </c>
      <c r="J29" s="16"/>
    </row>
    <row r="30" spans="1:10" x14ac:dyDescent="0.35">
      <c r="A30" s="25" t="s">
        <v>43</v>
      </c>
      <c r="B30" s="24">
        <f>('[1]Raw Data'!G5-'[1]Raw Data'!G4)/'[1]Raw Data'!G4</f>
        <v>-0.16943392021395143</v>
      </c>
      <c r="C30" s="24">
        <f>'[1]Raw Data'!D14/100</f>
        <v>4.7999999999999996E-3</v>
      </c>
      <c r="D30" s="24">
        <f>'[1]Raw Data'!D15/100</f>
        <v>-2.0000000000000001E-4</v>
      </c>
      <c r="E30" s="24">
        <f>'[1]Raw Data'!D13/100</f>
        <v>2.4199999999999999E-2</v>
      </c>
      <c r="F30" s="32">
        <f>'[1]Raw Data'!D16/100</f>
        <v>1.23E-2</v>
      </c>
      <c r="G30" s="36">
        <f t="shared" si="2"/>
        <v>-0.17423392021395143</v>
      </c>
      <c r="H30" s="34">
        <f t="shared" si="3"/>
        <v>-0.16923392021395142</v>
      </c>
      <c r="I30" s="35" t="s">
        <v>50</v>
      </c>
      <c r="J30" s="16"/>
    </row>
    <row r="31" spans="1:10" x14ac:dyDescent="0.35">
      <c r="A31" s="25" t="s">
        <v>44</v>
      </c>
      <c r="B31" s="24">
        <f>('[1]Raw Data'!G6-'[1]Raw Data'!G5)/'[1]Raw Data'!G5</f>
        <v>0.43547773976431653</v>
      </c>
      <c r="C31" s="24">
        <f>'[1]Raw Data'!E14/100</f>
        <v>1.6399999999999998E-2</v>
      </c>
      <c r="D31" s="24">
        <f>'[1]Raw Data'!E15/100</f>
        <v>-2.3E-3</v>
      </c>
      <c r="E31" s="24">
        <f>'[1]Raw Data'!E13/100</f>
        <v>9.7999999999999997E-3</v>
      </c>
      <c r="F31" s="32">
        <f>'[1]Raw Data'!E16/100</f>
        <v>4.7E-2</v>
      </c>
      <c r="G31" s="36">
        <f t="shared" si="2"/>
        <v>0.4190777397643165</v>
      </c>
      <c r="H31" s="34">
        <f t="shared" si="3"/>
        <v>0.43777773976431655</v>
      </c>
      <c r="I31" s="35" t="s">
        <v>51</v>
      </c>
      <c r="J31" s="16"/>
    </row>
    <row r="32" spans="1:10" x14ac:dyDescent="0.35">
      <c r="A32" s="25" t="s">
        <v>45</v>
      </c>
      <c r="B32" s="24">
        <f>('[1]Raw Data'!G7-'[1]Raw Data'!G6)/'[1]Raw Data'!G6</f>
        <v>0.22907969343884355</v>
      </c>
      <c r="C32" s="24">
        <f>'[1]Raw Data'!F14/100</f>
        <v>5.2199999999999996E-2</v>
      </c>
      <c r="D32" s="24">
        <f>'[1]Raw Data'!F15/100</f>
        <v>2.5000000000000001E-2</v>
      </c>
      <c r="E32" s="24">
        <f>'[1]Raw Data'!F13/100</f>
        <v>1.9699999999999999E-2</v>
      </c>
      <c r="F32" s="32">
        <f>'[1]Raw Data'!F16/100</f>
        <v>0.08</v>
      </c>
      <c r="G32" s="36">
        <f t="shared" si="2"/>
        <v>0.17687969343884355</v>
      </c>
      <c r="H32" s="34">
        <f t="shared" si="3"/>
        <v>0.20407969343884355</v>
      </c>
      <c r="I32" s="35" t="s">
        <v>36</v>
      </c>
      <c r="J32" s="16"/>
    </row>
    <row r="33" spans="1:10" x14ac:dyDescent="0.35">
      <c r="A33" s="25" t="s">
        <v>46</v>
      </c>
      <c r="B33" s="24">
        <f>('[1]Raw Data'!G8-'[1]Raw Data'!G7)/'[1]Raw Data'!G7</f>
        <v>8.7792451395401885E-2</v>
      </c>
      <c r="C33" s="24">
        <f>'[1]Raw Data'!G14/100</f>
        <v>4.8799999999999996E-2</v>
      </c>
      <c r="D33" s="24">
        <f>'[1]Raw Data'!G15/100</f>
        <v>3.27E-2</v>
      </c>
      <c r="E33" s="24">
        <f>'[1]Raw Data'!G13/100</f>
        <v>2.3E-3</v>
      </c>
      <c r="F33" s="32">
        <f>'[1]Raw Data'!G16/100</f>
        <v>4.1200000000000001E-2</v>
      </c>
      <c r="G33" s="36">
        <f t="shared" si="2"/>
        <v>3.8992451395401889E-2</v>
      </c>
      <c r="H33" s="34">
        <f t="shared" si="3"/>
        <v>5.5092451395401885E-2</v>
      </c>
      <c r="I33" s="35" t="s">
        <v>37</v>
      </c>
      <c r="J33" s="16"/>
    </row>
    <row r="34" spans="1:10" x14ac:dyDescent="0.35">
      <c r="A34" s="25" t="s">
        <v>47</v>
      </c>
      <c r="B34" s="24">
        <f>('[1]Raw Data'!G9-'[1]Raw Data'!G8)/'[1]Raw Data'!G8</f>
        <v>-1.9224271516620258E-2</v>
      </c>
      <c r="C34" s="24">
        <f>'[1]Raw Data'!H14/100</f>
        <v>0.02</v>
      </c>
      <c r="D34" s="24">
        <f>'[1]Raw Data'!H15/100</f>
        <v>2.7400000000000001E-2</v>
      </c>
      <c r="E34" s="24">
        <f>'[1]Raw Data'!H13/100</f>
        <v>2.2000000000000001E-3</v>
      </c>
      <c r="F34" s="32">
        <f>'[1]Raw Data'!H16/100</f>
        <v>2.9500000000000002E-2</v>
      </c>
      <c r="G34" s="37">
        <f t="shared" si="2"/>
        <v>-3.9224271516620259E-2</v>
      </c>
      <c r="H34" s="34">
        <f t="shared" si="3"/>
        <v>-4.6624271516620255E-2</v>
      </c>
      <c r="I34" s="35"/>
      <c r="J34" s="16"/>
    </row>
  </sheetData>
  <mergeCells count="4">
    <mergeCell ref="A2:H2"/>
    <mergeCell ref="A11:H11"/>
    <mergeCell ref="A20:H20"/>
    <mergeCell ref="A27:I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1FB1-71FA-455E-AEEF-0FB4DB3A5733}">
  <dimension ref="A2:M9"/>
  <sheetViews>
    <sheetView topLeftCell="A31" zoomScale="70" zoomScaleNormal="70" workbookViewId="0">
      <selection activeCell="R7" sqref="R7"/>
    </sheetView>
  </sheetViews>
  <sheetFormatPr defaultRowHeight="14.5" x14ac:dyDescent="0.35"/>
  <cols>
    <col min="1" max="1" width="16.26953125" customWidth="1"/>
    <col min="2" max="2" width="21.90625" customWidth="1"/>
    <col min="3" max="3" width="25.36328125" customWidth="1"/>
    <col min="4" max="4" width="20.90625" customWidth="1"/>
    <col min="5" max="5" width="18.7265625" customWidth="1"/>
    <col min="6" max="6" width="20.36328125" customWidth="1"/>
    <col min="12" max="12" width="26" customWidth="1"/>
    <col min="13" max="13" width="26.7265625" customWidth="1"/>
  </cols>
  <sheetData>
    <row r="2" spans="1:13" x14ac:dyDescent="0.35">
      <c r="A2" s="4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K2" s="38" t="s">
        <v>29</v>
      </c>
      <c r="L2" s="38" t="s">
        <v>52</v>
      </c>
      <c r="M2" s="38" t="s">
        <v>53</v>
      </c>
    </row>
    <row r="3" spans="1:13" x14ac:dyDescent="0.35">
      <c r="A3" s="2">
        <v>2018</v>
      </c>
      <c r="B3" s="6">
        <v>4863</v>
      </c>
      <c r="C3" s="6">
        <v>18455</v>
      </c>
      <c r="D3" s="6">
        <v>4968</v>
      </c>
      <c r="E3" s="6">
        <v>4123</v>
      </c>
      <c r="F3" s="6">
        <v>13646</v>
      </c>
      <c r="K3" s="2">
        <v>2018</v>
      </c>
      <c r="L3" s="1">
        <v>46055</v>
      </c>
      <c r="M3" s="1">
        <v>46055</v>
      </c>
    </row>
    <row r="4" spans="1:13" x14ac:dyDescent="0.35">
      <c r="A4" s="2">
        <v>2019</v>
      </c>
      <c r="B4" s="6">
        <v>5576</v>
      </c>
      <c r="C4" s="6">
        <v>22237</v>
      </c>
      <c r="D4" s="6">
        <v>6835</v>
      </c>
      <c r="E4" s="6">
        <v>4405</v>
      </c>
      <c r="F4" s="6">
        <v>14791</v>
      </c>
      <c r="K4" s="2">
        <v>2019</v>
      </c>
      <c r="L4" s="1">
        <v>53844</v>
      </c>
      <c r="M4" s="1">
        <v>53254</v>
      </c>
    </row>
    <row r="5" spans="1:13" x14ac:dyDescent="0.35">
      <c r="A5" s="2">
        <v>2020</v>
      </c>
      <c r="B5" s="6">
        <v>4755</v>
      </c>
      <c r="C5" s="6">
        <v>21207</v>
      </c>
      <c r="D5" s="6">
        <v>5248</v>
      </c>
      <c r="E5" s="6">
        <v>3356</v>
      </c>
      <c r="F5" s="6">
        <v>10155</v>
      </c>
      <c r="K5" s="2">
        <v>2020</v>
      </c>
      <c r="L5" s="1">
        <v>44721</v>
      </c>
      <c r="M5" s="1">
        <v>44021</v>
      </c>
    </row>
    <row r="6" spans="1:13" x14ac:dyDescent="0.35">
      <c r="A6" s="2">
        <v>2021</v>
      </c>
      <c r="B6" s="6">
        <v>5974</v>
      </c>
      <c r="C6" s="6">
        <v>30896</v>
      </c>
      <c r="D6" s="6">
        <v>6608</v>
      </c>
      <c r="E6" s="6">
        <v>8964</v>
      </c>
      <c r="F6" s="6">
        <v>11754</v>
      </c>
      <c r="K6" s="2">
        <v>2021</v>
      </c>
      <c r="L6" s="1">
        <v>64196</v>
      </c>
      <c r="M6" s="1">
        <v>62170</v>
      </c>
    </row>
    <row r="7" spans="1:13" x14ac:dyDescent="0.35">
      <c r="A7" s="2">
        <v>2022</v>
      </c>
      <c r="B7" s="6">
        <v>7099</v>
      </c>
      <c r="C7" s="6">
        <v>38648</v>
      </c>
      <c r="D7" s="6">
        <v>7722</v>
      </c>
      <c r="E7" s="6">
        <v>10581</v>
      </c>
      <c r="F7" s="6">
        <v>14852</v>
      </c>
      <c r="K7" s="2">
        <v>2022</v>
      </c>
      <c r="L7" s="1">
        <v>78902</v>
      </c>
      <c r="M7" s="1">
        <v>72620</v>
      </c>
    </row>
    <row r="8" spans="1:13" x14ac:dyDescent="0.35">
      <c r="A8" s="2">
        <v>2023</v>
      </c>
      <c r="B8" s="6">
        <v>6602</v>
      </c>
      <c r="C8" s="6">
        <v>42169</v>
      </c>
      <c r="D8" s="6">
        <v>8271</v>
      </c>
      <c r="E8" s="6">
        <v>10902</v>
      </c>
      <c r="F8" s="6">
        <v>17885</v>
      </c>
      <c r="K8" s="2">
        <v>2023</v>
      </c>
      <c r="L8" s="1">
        <v>85829</v>
      </c>
      <c r="M8" s="1">
        <v>75321</v>
      </c>
    </row>
    <row r="9" spans="1:13" x14ac:dyDescent="0.35">
      <c r="A9" s="2">
        <v>2024</v>
      </c>
      <c r="B9" s="6">
        <v>5862</v>
      </c>
      <c r="C9" s="6">
        <v>41060</v>
      </c>
      <c r="D9" s="6">
        <v>8418</v>
      </c>
      <c r="E9" s="6">
        <v>10577</v>
      </c>
      <c r="F9" s="6">
        <v>18262</v>
      </c>
      <c r="K9" s="2">
        <v>2024</v>
      </c>
      <c r="L9" s="1">
        <v>84179</v>
      </c>
      <c r="M9" s="1">
        <v>72425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FCF7-A103-4FEE-A30C-8F4149ABD83D}">
  <dimension ref="A1:A19"/>
  <sheetViews>
    <sheetView workbookViewId="0">
      <selection activeCell="B11" sqref="B11"/>
    </sheetView>
  </sheetViews>
  <sheetFormatPr defaultRowHeight="14.5" x14ac:dyDescent="0.35"/>
  <cols>
    <col min="1" max="1" width="78.36328125" customWidth="1"/>
  </cols>
  <sheetData>
    <row r="1" spans="1:1" ht="21" x14ac:dyDescent="0.5">
      <c r="A1" s="40" t="s">
        <v>55</v>
      </c>
    </row>
    <row r="2" spans="1:1" x14ac:dyDescent="0.35">
      <c r="A2" s="41" t="s">
        <v>54</v>
      </c>
    </row>
    <row r="3" spans="1:1" ht="50" x14ac:dyDescent="0.35">
      <c r="A3" s="42" t="s">
        <v>58</v>
      </c>
    </row>
    <row r="5" spans="1:1" x14ac:dyDescent="0.35">
      <c r="A5" s="41" t="s">
        <v>57</v>
      </c>
    </row>
    <row r="6" spans="1:1" x14ac:dyDescent="0.35">
      <c r="A6" s="43" t="s">
        <v>59</v>
      </c>
    </row>
    <row r="7" spans="1:1" x14ac:dyDescent="0.35">
      <c r="A7" s="44" t="s">
        <v>60</v>
      </c>
    </row>
    <row r="8" spans="1:1" ht="26.5" customHeight="1" x14ac:dyDescent="0.35">
      <c r="A8" s="47" t="s">
        <v>61</v>
      </c>
    </row>
    <row r="10" spans="1:1" x14ac:dyDescent="0.35">
      <c r="A10" s="41" t="s">
        <v>56</v>
      </c>
    </row>
    <row r="11" spans="1:1" ht="37.5" x14ac:dyDescent="0.35">
      <c r="A11" s="43" t="s">
        <v>62</v>
      </c>
    </row>
    <row r="12" spans="1:1" x14ac:dyDescent="0.35">
      <c r="A12" s="44"/>
    </row>
    <row r="13" spans="1:1" ht="62.5" x14ac:dyDescent="0.35">
      <c r="A13" s="45" t="s">
        <v>63</v>
      </c>
    </row>
    <row r="14" spans="1:1" x14ac:dyDescent="0.35">
      <c r="A14" s="44"/>
    </row>
    <row r="15" spans="1:1" ht="62.5" x14ac:dyDescent="0.35">
      <c r="A15" s="45" t="s">
        <v>64</v>
      </c>
    </row>
    <row r="16" spans="1:1" x14ac:dyDescent="0.35">
      <c r="A16" s="44"/>
    </row>
    <row r="17" spans="1:1" ht="62.5" x14ac:dyDescent="0.35">
      <c r="A17" s="45" t="s">
        <v>65</v>
      </c>
    </row>
    <row r="18" spans="1:1" x14ac:dyDescent="0.35">
      <c r="A18" s="44"/>
    </row>
    <row r="19" spans="1:1" ht="75" x14ac:dyDescent="0.35">
      <c r="A19" s="4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Charts</vt:lpstr>
      <vt:lpstr>Project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 Goyal</dc:creator>
  <cp:lastModifiedBy>Yashaswi Goyal</cp:lastModifiedBy>
  <dcterms:created xsi:type="dcterms:W3CDTF">2026-05-12T12:14:39Z</dcterms:created>
  <dcterms:modified xsi:type="dcterms:W3CDTF">2026-05-14T06:43:58Z</dcterms:modified>
</cp:coreProperties>
</file>